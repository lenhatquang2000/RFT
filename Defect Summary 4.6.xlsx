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66670\Downloads\"/>
    </mc:Choice>
  </mc:AlternateContent>
  <bookViews>
    <workbookView xWindow="0" yWindow="0" windowWidth="28800" windowHeight="12345"/>
  </bookViews>
  <sheets>
    <sheet name="data" sheetId="1" r:id="rId1"/>
  </sheets>
  <calcPr calcId="162913" concurrentCalc="0"/>
</workbook>
</file>

<file path=xl/calcChain.xml><?xml version="1.0" encoding="utf-8"?>
<calcChain xmlns="http://schemas.openxmlformats.org/spreadsheetml/2006/main">
  <c r="G30" i="1" l="1"/>
  <c r="F30" i="1"/>
  <c r="F29" i="1"/>
</calcChain>
</file>

<file path=xl/sharedStrings.xml><?xml version="1.0" encoding="utf-8"?>
<sst xmlns="http://schemas.openxmlformats.org/spreadsheetml/2006/main" count="248" uniqueCount="139">
  <si>
    <t>Area</t>
  </si>
  <si>
    <t>QcDate</t>
  </si>
  <si>
    <t>LEAN</t>
  </si>
  <si>
    <t>Total inspect Qty</t>
  </si>
  <si>
    <t>Article</t>
  </si>
  <si>
    <t>Model</t>
  </si>
  <si>
    <t>RY</t>
  </si>
  <si>
    <t>Total released Qty</t>
  </si>
  <si>
    <t>Total defect Qty</t>
  </si>
  <si>
    <t>% Defect</t>
  </si>
  <si>
    <t>% RFT</t>
  </si>
  <si>
    <t>Top 1 defect QTY</t>
  </si>
  <si>
    <t>1. DFname</t>
  </si>
  <si>
    <t>% Defect 1</t>
  </si>
  <si>
    <t>Top 2 defect QTY</t>
  </si>
  <si>
    <t>2. DFname</t>
  </si>
  <si>
    <t>% Defect 2</t>
  </si>
  <si>
    <t>Top 3 defect QTY</t>
  </si>
  <si>
    <t>3. DFname</t>
  </si>
  <si>
    <t>% Defect 3</t>
  </si>
  <si>
    <t>StockFitting</t>
  </si>
  <si>
    <t>GCD_C1</t>
  </si>
  <si>
    <t>LB3898</t>
  </si>
  <si>
    <t>BELIEVE THAT 1 J</t>
  </si>
  <si>
    <t>AH2606-A25</t>
  </si>
  <si>
    <t>78.78%</t>
  </si>
  <si>
    <t>Soiling</t>
  </si>
  <si>
    <t>51.47%</t>
  </si>
  <si>
    <t>Bottom part bonding</t>
  </si>
  <si>
    <t>48.53%</t>
  </si>
  <si>
    <t/>
  </si>
  <si>
    <t>0%</t>
  </si>
  <si>
    <t>GCD_C2</t>
  </si>
  <si>
    <t>KJ3320</t>
  </si>
  <si>
    <t>BELIEVE THAT 1</t>
  </si>
  <si>
    <t>AH2606-458</t>
  </si>
  <si>
    <t>68.04%</t>
  </si>
  <si>
    <t>57.14%</t>
  </si>
  <si>
    <t>31.43%</t>
  </si>
  <si>
    <t>Symmetry / Alignment</t>
  </si>
  <si>
    <t>11.43%</t>
  </si>
  <si>
    <t>KI5277</t>
  </si>
  <si>
    <t>ADIDAS INITIATION</t>
  </si>
  <si>
    <t>AH2607-037</t>
  </si>
  <si>
    <t>69.06%</t>
  </si>
  <si>
    <t>52.17%</t>
  </si>
  <si>
    <t>45.65%</t>
  </si>
  <si>
    <t>2.17%</t>
  </si>
  <si>
    <t>GCD_C3</t>
  </si>
  <si>
    <t>KI6749</t>
  </si>
  <si>
    <t>CRAZY ENERGY</t>
  </si>
  <si>
    <t>AH2605-486</t>
  </si>
  <si>
    <t>95.92%</t>
  </si>
  <si>
    <t>60%</t>
  </si>
  <si>
    <t>40%</t>
  </si>
  <si>
    <t>LA6317</t>
  </si>
  <si>
    <t>CRAZY ENERGY DDLM</t>
  </si>
  <si>
    <t>AH2606-A16</t>
  </si>
  <si>
    <t>97.54%</t>
  </si>
  <si>
    <t>62.5%</t>
  </si>
  <si>
    <t>37.5%</t>
  </si>
  <si>
    <t>AH2606-B85</t>
  </si>
  <si>
    <t>97.17%</t>
  </si>
  <si>
    <t>66.67%</t>
  </si>
  <si>
    <t>33.33%</t>
  </si>
  <si>
    <t>GCD_C4</t>
  </si>
  <si>
    <t>KJ2307</t>
  </si>
  <si>
    <t>ADISTAR CONTROL 5 W</t>
  </si>
  <si>
    <t>AH2605-H57</t>
  </si>
  <si>
    <t>78.62%</t>
  </si>
  <si>
    <t>AH2606-535</t>
  </si>
  <si>
    <t>91.43%</t>
  </si>
  <si>
    <t>61.11%</t>
  </si>
  <si>
    <t>38.89%</t>
  </si>
  <si>
    <t>AH2606-G88</t>
  </si>
  <si>
    <t>78.74%</t>
  </si>
  <si>
    <t>50.62%</t>
  </si>
  <si>
    <t>49.38%</t>
  </si>
  <si>
    <t>IH1799</t>
  </si>
  <si>
    <t>AH2607-426</t>
  </si>
  <si>
    <t>96.35%</t>
  </si>
  <si>
    <t>GCD_C5</t>
  </si>
  <si>
    <t>LB3895</t>
  </si>
  <si>
    <t>AH2606-742</t>
  </si>
  <si>
    <t>60.15%</t>
  </si>
  <si>
    <t>77.18%</t>
  </si>
  <si>
    <t>22.82%</t>
  </si>
  <si>
    <t>GCD_C6</t>
  </si>
  <si>
    <t>KJ3332</t>
  </si>
  <si>
    <t>BELIEVE THAT 1 C</t>
  </si>
  <si>
    <t>AH2606-420</t>
  </si>
  <si>
    <t>70.7%</t>
  </si>
  <si>
    <t>44.38%</t>
  </si>
  <si>
    <t>33.99%</t>
  </si>
  <si>
    <t>Wrong part / component</t>
  </si>
  <si>
    <t>21.63%</t>
  </si>
  <si>
    <t>GCD_C8</t>
  </si>
  <si>
    <t>KJ2730</t>
  </si>
  <si>
    <t>ADISTAR CONTROL 5</t>
  </si>
  <si>
    <t>AH2608-116</t>
  </si>
  <si>
    <t>73.1%</t>
  </si>
  <si>
    <t>48.97%</t>
  </si>
  <si>
    <t>29.66%</t>
  </si>
  <si>
    <t>21.38%</t>
  </si>
  <si>
    <t>AH2608-153</t>
  </si>
  <si>
    <t>84.68%</t>
  </si>
  <si>
    <t>42.37%</t>
  </si>
  <si>
    <t>32.2%</t>
  </si>
  <si>
    <t>25.42%</t>
  </si>
  <si>
    <t>GCD_C9</t>
  </si>
  <si>
    <t>KJ2726</t>
  </si>
  <si>
    <t>AH2607-125</t>
  </si>
  <si>
    <t>68.88%</t>
  </si>
  <si>
    <t>41.38%</t>
  </si>
  <si>
    <t>38.62%</t>
  </si>
  <si>
    <t>Color Migration / Bleeding</t>
  </si>
  <si>
    <t>20%</t>
  </si>
  <si>
    <t>AH2608-108</t>
  </si>
  <si>
    <t>71.05%</t>
  </si>
  <si>
    <t>36.36%</t>
  </si>
  <si>
    <t>29.09%</t>
  </si>
  <si>
    <t>25.45%</t>
  </si>
  <si>
    <t>GCD_C 11</t>
  </si>
  <si>
    <t>KZ7073</t>
  </si>
  <si>
    <t>AH2606-C45</t>
  </si>
  <si>
    <t>67.2%</t>
  </si>
  <si>
    <t>64.52%</t>
  </si>
  <si>
    <t>35.48%</t>
  </si>
  <si>
    <t>GCD_C 12</t>
  </si>
  <si>
    <t>KJ7788</t>
  </si>
  <si>
    <t>AH2606-107</t>
  </si>
  <si>
    <t>70.17%</t>
  </si>
  <si>
    <t>64.81%</t>
  </si>
  <si>
    <t>18.52%</t>
  </si>
  <si>
    <t>16.67%</t>
  </si>
  <si>
    <t>89.93%</t>
  </si>
  <si>
    <t>68.6%</t>
  </si>
  <si>
    <t>25.58%</t>
  </si>
  <si>
    <t>5.81%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</si>
</sst>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0">
    <font>
      <sz val="12"/>
      <color indexed="8"/>
      <name val="Arial Unicode MS"/>
      <family val="1"/>
      <charset val="136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2"/>
      <color indexed="8"/>
      <name val="Arial Unicode MS"/>
      <family val="1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9" fillId="0" borderId="0" applyFont="0" applyFill="0" applyBorder="0" applyAlignment="0" applyProtection="0"/>
  </cellStyleXfs>
  <cellXfs count="5">
    <xf numFmtId="0" fontId="0" fillId="0" borderId="0" xfId="0">
      <alignment vertical="center"/>
    </xf>
    <xf numFmtId="0" fontId="18" fillId="0" borderId="10" xfId="0" applyFont="1" applyBorder="1">
      <alignment vertical="center"/>
    </xf>
    <xf numFmtId="14" fontId="0" fillId="0" borderId="0" xfId="0" applyNumberFormat="1">
      <alignment vertical="center"/>
    </xf>
    <xf numFmtId="10" fontId="0" fillId="0" borderId="0" xfId="42" applyNumberFormat="1" applyFont="1" applyAlignment="1">
      <alignment vertical="center"/>
    </xf>
    <xf numFmtId="164" fontId="0" fillId="0" borderId="0" xfId="0" applyNumberFormat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tabSelected="1" zoomScale="70" workbookViewId="0">
      <selection activeCell="I38" sqref="I38"/>
    </sheetView>
  </sheetViews>
  <sheetFormatPr defaultRowHeight="14.25"/>
  <cols>
    <col min="1" max="1" width="10.33203125" customWidth="1"/>
    <col min="2" max="2" width="13.6640625" customWidth="1"/>
    <col min="3" max="3" width="11.88671875" customWidth="1"/>
    <col min="4" max="4" width="11.77734375" customWidth="1"/>
    <col min="5" max="5" width="8.88671875" customWidth="1"/>
    <col min="6" max="6" width="25.109375" customWidth="1"/>
    <col min="7" max="7" width="14.77734375" customWidth="1"/>
    <col min="8" max="8" width="18.6640625" customWidth="1"/>
    <col min="9" max="9" width="17" customWidth="1"/>
    <col min="10" max="10" width="11.5546875" customWidth="1"/>
    <col min="11" max="11" width="14.77734375" customWidth="1"/>
    <col min="12" max="12" width="13.33203125" customWidth="1"/>
    <col min="13" max="13" width="22.21875" customWidth="1"/>
    <col min="14" max="14" width="14.77734375" customWidth="1"/>
    <col min="15" max="15" width="13.33203125" customWidth="1"/>
    <col min="16" max="16" width="22.21875" customWidth="1"/>
    <col min="17" max="17" width="14.77734375" customWidth="1"/>
    <col min="18" max="18" width="13.33203125" customWidth="1"/>
    <col min="19" max="19" width="22.21875" customWidth="1"/>
    <col min="20" max="20" width="14.77734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46176</v>
      </c>
      <c r="C2" t="s">
        <v>21</v>
      </c>
      <c r="D2">
        <v>1447</v>
      </c>
      <c r="E2" t="s">
        <v>22</v>
      </c>
      <c r="F2" t="s">
        <v>23</v>
      </c>
      <c r="G2" t="s">
        <v>24</v>
      </c>
      <c r="H2">
        <v>1140</v>
      </c>
      <c r="I2">
        <v>307</v>
      </c>
      <c r="J2" s="3">
        <v>0.21216309606081499</v>
      </c>
      <c r="K2" t="s">
        <v>25</v>
      </c>
      <c r="L2">
        <v>158</v>
      </c>
      <c r="M2" t="s">
        <v>26</v>
      </c>
      <c r="N2" t="s">
        <v>27</v>
      </c>
      <c r="O2">
        <v>149</v>
      </c>
      <c r="P2" t="s">
        <v>28</v>
      </c>
      <c r="Q2" t="s">
        <v>29</v>
      </c>
      <c r="R2">
        <v>0</v>
      </c>
      <c r="S2" t="s">
        <v>30</v>
      </c>
      <c r="T2" t="s">
        <v>31</v>
      </c>
    </row>
    <row r="3" spans="1:20">
      <c r="A3" t="s">
        <v>20</v>
      </c>
      <c r="B3" s="2">
        <v>46176</v>
      </c>
      <c r="C3" t="s">
        <v>32</v>
      </c>
      <c r="D3">
        <v>219</v>
      </c>
      <c r="E3" t="s">
        <v>33</v>
      </c>
      <c r="F3" t="s">
        <v>34</v>
      </c>
      <c r="G3" t="s">
        <v>35</v>
      </c>
      <c r="H3">
        <v>149</v>
      </c>
      <c r="I3">
        <v>70</v>
      </c>
      <c r="J3" s="3">
        <v>0.31963470319634701</v>
      </c>
      <c r="K3" t="s">
        <v>36</v>
      </c>
      <c r="L3">
        <v>40</v>
      </c>
      <c r="M3" t="s">
        <v>26</v>
      </c>
      <c r="N3" t="s">
        <v>37</v>
      </c>
      <c r="O3">
        <v>22</v>
      </c>
      <c r="P3" t="s">
        <v>28</v>
      </c>
      <c r="Q3" t="s">
        <v>38</v>
      </c>
      <c r="R3">
        <v>8</v>
      </c>
      <c r="S3" t="s">
        <v>39</v>
      </c>
      <c r="T3" t="s">
        <v>40</v>
      </c>
    </row>
    <row r="4" spans="1:20">
      <c r="A4" t="s">
        <v>20</v>
      </c>
      <c r="B4" s="2">
        <v>46176</v>
      </c>
      <c r="C4" t="s">
        <v>32</v>
      </c>
      <c r="D4">
        <v>446</v>
      </c>
      <c r="E4" t="s">
        <v>41</v>
      </c>
      <c r="F4" t="s">
        <v>42</v>
      </c>
      <c r="G4" t="s">
        <v>43</v>
      </c>
      <c r="H4">
        <v>308</v>
      </c>
      <c r="I4">
        <v>138</v>
      </c>
      <c r="J4" s="3">
        <v>0.30941704035874401</v>
      </c>
      <c r="K4" t="s">
        <v>44</v>
      </c>
      <c r="L4">
        <v>72</v>
      </c>
      <c r="M4" t="s">
        <v>26</v>
      </c>
      <c r="N4" t="s">
        <v>45</v>
      </c>
      <c r="O4">
        <v>63</v>
      </c>
      <c r="P4" t="s">
        <v>28</v>
      </c>
      <c r="Q4" t="s">
        <v>46</v>
      </c>
      <c r="R4">
        <v>3</v>
      </c>
      <c r="S4" t="s">
        <v>39</v>
      </c>
      <c r="T4" t="s">
        <v>47</v>
      </c>
    </row>
    <row r="5" spans="1:20">
      <c r="A5" t="s">
        <v>20</v>
      </c>
      <c r="B5" s="2">
        <v>46176</v>
      </c>
      <c r="C5" t="s">
        <v>48</v>
      </c>
      <c r="D5">
        <v>245</v>
      </c>
      <c r="E5" t="s">
        <v>49</v>
      </c>
      <c r="F5" t="s">
        <v>50</v>
      </c>
      <c r="G5" t="s">
        <v>51</v>
      </c>
      <c r="H5">
        <v>235</v>
      </c>
      <c r="I5">
        <v>10</v>
      </c>
      <c r="J5" s="3">
        <v>4.08163265306122E-2</v>
      </c>
      <c r="K5" t="s">
        <v>52</v>
      </c>
      <c r="L5">
        <v>6</v>
      </c>
      <c r="M5" t="s">
        <v>26</v>
      </c>
      <c r="N5" t="s">
        <v>53</v>
      </c>
      <c r="O5">
        <v>4</v>
      </c>
      <c r="P5" t="s">
        <v>28</v>
      </c>
      <c r="Q5" t="s">
        <v>54</v>
      </c>
      <c r="R5">
        <v>0</v>
      </c>
      <c r="S5" t="s">
        <v>30</v>
      </c>
      <c r="T5" t="s">
        <v>31</v>
      </c>
    </row>
    <row r="6" spans="1:20">
      <c r="A6" t="s">
        <v>20</v>
      </c>
      <c r="B6" s="2">
        <v>46176</v>
      </c>
      <c r="C6" t="s">
        <v>48</v>
      </c>
      <c r="D6">
        <v>651</v>
      </c>
      <c r="E6" t="s">
        <v>55</v>
      </c>
      <c r="F6" t="s">
        <v>56</v>
      </c>
      <c r="G6" t="s">
        <v>57</v>
      </c>
      <c r="H6">
        <v>635</v>
      </c>
      <c r="I6">
        <v>16</v>
      </c>
      <c r="J6" s="3">
        <v>2.4577572964669701E-2</v>
      </c>
      <c r="K6" t="s">
        <v>58</v>
      </c>
      <c r="L6">
        <v>10</v>
      </c>
      <c r="M6" t="s">
        <v>26</v>
      </c>
      <c r="N6" t="s">
        <v>59</v>
      </c>
      <c r="O6">
        <v>6</v>
      </c>
      <c r="P6" t="s">
        <v>28</v>
      </c>
      <c r="Q6" t="s">
        <v>60</v>
      </c>
      <c r="R6">
        <v>0</v>
      </c>
      <c r="S6" t="s">
        <v>30</v>
      </c>
      <c r="T6" t="s">
        <v>31</v>
      </c>
    </row>
    <row r="7" spans="1:20">
      <c r="A7" t="s">
        <v>20</v>
      </c>
      <c r="B7" s="2">
        <v>46176</v>
      </c>
      <c r="C7" t="s">
        <v>48</v>
      </c>
      <c r="D7">
        <v>106</v>
      </c>
      <c r="E7" t="s">
        <v>49</v>
      </c>
      <c r="F7" t="s">
        <v>50</v>
      </c>
      <c r="G7" t="s">
        <v>61</v>
      </c>
      <c r="H7">
        <v>103</v>
      </c>
      <c r="I7">
        <v>3</v>
      </c>
      <c r="J7" s="3">
        <v>2.83018867924528E-2</v>
      </c>
      <c r="K7" t="s">
        <v>62</v>
      </c>
      <c r="L7">
        <v>2</v>
      </c>
      <c r="M7" t="s">
        <v>26</v>
      </c>
      <c r="N7" t="s">
        <v>63</v>
      </c>
      <c r="O7">
        <v>1</v>
      </c>
      <c r="P7" t="s">
        <v>28</v>
      </c>
      <c r="Q7" t="s">
        <v>64</v>
      </c>
      <c r="R7">
        <v>0</v>
      </c>
      <c r="S7" t="s">
        <v>30</v>
      </c>
      <c r="T7" t="s">
        <v>31</v>
      </c>
    </row>
    <row r="8" spans="1:20">
      <c r="A8" t="s">
        <v>20</v>
      </c>
      <c r="B8" s="2">
        <v>46176</v>
      </c>
      <c r="C8" t="s">
        <v>65</v>
      </c>
      <c r="D8">
        <v>318</v>
      </c>
      <c r="E8" t="s">
        <v>66</v>
      </c>
      <c r="F8" t="s">
        <v>67</v>
      </c>
      <c r="G8" t="s">
        <v>68</v>
      </c>
      <c r="H8">
        <v>250</v>
      </c>
      <c r="I8">
        <v>68</v>
      </c>
      <c r="J8" s="3">
        <v>0.213836477987421</v>
      </c>
      <c r="K8" t="s">
        <v>69</v>
      </c>
      <c r="L8">
        <v>35</v>
      </c>
      <c r="M8" t="s">
        <v>26</v>
      </c>
      <c r="N8" t="s">
        <v>27</v>
      </c>
      <c r="O8">
        <v>33</v>
      </c>
      <c r="P8" t="s">
        <v>28</v>
      </c>
      <c r="Q8" t="s">
        <v>29</v>
      </c>
      <c r="R8">
        <v>0</v>
      </c>
      <c r="S8" t="s">
        <v>30</v>
      </c>
      <c r="T8" t="s">
        <v>31</v>
      </c>
    </row>
    <row r="9" spans="1:20">
      <c r="A9" t="s">
        <v>20</v>
      </c>
      <c r="B9" s="2">
        <v>46176</v>
      </c>
      <c r="C9" t="s">
        <v>65</v>
      </c>
      <c r="D9">
        <v>210</v>
      </c>
      <c r="E9" t="s">
        <v>66</v>
      </c>
      <c r="F9" t="s">
        <v>67</v>
      </c>
      <c r="G9" t="s">
        <v>70</v>
      </c>
      <c r="H9">
        <v>192</v>
      </c>
      <c r="I9">
        <v>18</v>
      </c>
      <c r="J9" s="3">
        <v>8.5714285714285701E-2</v>
      </c>
      <c r="K9" t="s">
        <v>71</v>
      </c>
      <c r="L9">
        <v>11</v>
      </c>
      <c r="M9" t="s">
        <v>26</v>
      </c>
      <c r="N9" t="s">
        <v>72</v>
      </c>
      <c r="O9">
        <v>7</v>
      </c>
      <c r="P9" t="s">
        <v>28</v>
      </c>
      <c r="Q9" t="s">
        <v>73</v>
      </c>
      <c r="R9">
        <v>0</v>
      </c>
      <c r="S9" t="s">
        <v>30</v>
      </c>
      <c r="T9" t="s">
        <v>31</v>
      </c>
    </row>
    <row r="10" spans="1:20">
      <c r="A10" t="s">
        <v>20</v>
      </c>
      <c r="B10" s="2">
        <v>46176</v>
      </c>
      <c r="C10" t="s">
        <v>65</v>
      </c>
      <c r="D10">
        <v>381</v>
      </c>
      <c r="E10" t="s">
        <v>66</v>
      </c>
      <c r="F10" t="s">
        <v>67</v>
      </c>
      <c r="G10" t="s">
        <v>74</v>
      </c>
      <c r="H10">
        <v>300</v>
      </c>
      <c r="I10">
        <v>81</v>
      </c>
      <c r="J10" s="3">
        <v>0.21259842519684999</v>
      </c>
      <c r="K10" t="s">
        <v>75</v>
      </c>
      <c r="L10">
        <v>41</v>
      </c>
      <c r="M10" t="s">
        <v>26</v>
      </c>
      <c r="N10" t="s">
        <v>76</v>
      </c>
      <c r="O10">
        <v>40</v>
      </c>
      <c r="P10" t="s">
        <v>28</v>
      </c>
      <c r="Q10" t="s">
        <v>77</v>
      </c>
      <c r="R10">
        <v>0</v>
      </c>
      <c r="S10" t="s">
        <v>30</v>
      </c>
      <c r="T10" t="s">
        <v>31</v>
      </c>
    </row>
    <row r="11" spans="1:20">
      <c r="A11" t="s">
        <v>20</v>
      </c>
      <c r="B11" s="2">
        <v>46176</v>
      </c>
      <c r="C11" t="s">
        <v>65</v>
      </c>
      <c r="D11">
        <v>137</v>
      </c>
      <c r="E11" t="s">
        <v>78</v>
      </c>
      <c r="F11" t="s">
        <v>67</v>
      </c>
      <c r="G11" t="s">
        <v>79</v>
      </c>
      <c r="H11">
        <v>132</v>
      </c>
      <c r="I11">
        <v>5</v>
      </c>
      <c r="J11" s="3">
        <v>3.6496350364963501E-2</v>
      </c>
      <c r="K11" t="s">
        <v>80</v>
      </c>
      <c r="L11">
        <v>3</v>
      </c>
      <c r="M11" t="s">
        <v>26</v>
      </c>
      <c r="N11" t="s">
        <v>53</v>
      </c>
      <c r="O11">
        <v>2</v>
      </c>
      <c r="P11" t="s">
        <v>28</v>
      </c>
      <c r="Q11" t="s">
        <v>54</v>
      </c>
      <c r="R11">
        <v>0</v>
      </c>
      <c r="S11" t="s">
        <v>30</v>
      </c>
      <c r="T11" t="s">
        <v>31</v>
      </c>
    </row>
    <row r="12" spans="1:20">
      <c r="A12" t="s">
        <v>20</v>
      </c>
      <c r="B12" s="2">
        <v>46176</v>
      </c>
      <c r="C12" t="s">
        <v>81</v>
      </c>
      <c r="D12">
        <v>517</v>
      </c>
      <c r="E12" t="s">
        <v>82</v>
      </c>
      <c r="F12" t="s">
        <v>23</v>
      </c>
      <c r="G12" t="s">
        <v>83</v>
      </c>
      <c r="H12">
        <v>311</v>
      </c>
      <c r="I12">
        <v>206</v>
      </c>
      <c r="J12" s="3">
        <v>0.39845261121856901</v>
      </c>
      <c r="K12" t="s">
        <v>84</v>
      </c>
      <c r="L12">
        <v>159</v>
      </c>
      <c r="M12" t="s">
        <v>26</v>
      </c>
      <c r="N12" t="s">
        <v>85</v>
      </c>
      <c r="O12">
        <v>47</v>
      </c>
      <c r="P12" t="s">
        <v>28</v>
      </c>
      <c r="Q12" t="s">
        <v>86</v>
      </c>
      <c r="R12">
        <v>0</v>
      </c>
      <c r="S12" t="s">
        <v>30</v>
      </c>
      <c r="T12" t="s">
        <v>31</v>
      </c>
    </row>
    <row r="13" spans="1:20">
      <c r="A13" t="s">
        <v>20</v>
      </c>
      <c r="B13" s="2">
        <v>46176</v>
      </c>
      <c r="C13" t="s">
        <v>87</v>
      </c>
      <c r="D13">
        <v>1215</v>
      </c>
      <c r="E13" t="s">
        <v>88</v>
      </c>
      <c r="F13" t="s">
        <v>89</v>
      </c>
      <c r="G13" t="s">
        <v>90</v>
      </c>
      <c r="H13">
        <v>859</v>
      </c>
      <c r="I13">
        <v>356</v>
      </c>
      <c r="J13" s="3">
        <v>0.29300411522633701</v>
      </c>
      <c r="K13" t="s">
        <v>91</v>
      </c>
      <c r="L13">
        <v>158</v>
      </c>
      <c r="M13" t="s">
        <v>26</v>
      </c>
      <c r="N13" t="s">
        <v>92</v>
      </c>
      <c r="O13">
        <v>121</v>
      </c>
      <c r="P13" t="s">
        <v>28</v>
      </c>
      <c r="Q13" t="s">
        <v>93</v>
      </c>
      <c r="R13">
        <v>77</v>
      </c>
      <c r="S13" t="s">
        <v>94</v>
      </c>
      <c r="T13" t="s">
        <v>95</v>
      </c>
    </row>
    <row r="14" spans="1:20">
      <c r="A14" t="s">
        <v>20</v>
      </c>
      <c r="B14" s="2">
        <v>46176</v>
      </c>
      <c r="C14" t="s">
        <v>96</v>
      </c>
      <c r="D14">
        <v>539</v>
      </c>
      <c r="E14" t="s">
        <v>97</v>
      </c>
      <c r="F14" t="s">
        <v>98</v>
      </c>
      <c r="G14" t="s">
        <v>99</v>
      </c>
      <c r="H14">
        <v>394</v>
      </c>
      <c r="I14">
        <v>145</v>
      </c>
      <c r="J14" s="3">
        <v>0.26901669758812602</v>
      </c>
      <c r="K14" t="s">
        <v>100</v>
      </c>
      <c r="L14">
        <v>71</v>
      </c>
      <c r="M14" t="s">
        <v>26</v>
      </c>
      <c r="N14" t="s">
        <v>101</v>
      </c>
      <c r="O14">
        <v>43</v>
      </c>
      <c r="P14" t="s">
        <v>28</v>
      </c>
      <c r="Q14" t="s">
        <v>102</v>
      </c>
      <c r="R14">
        <v>31</v>
      </c>
      <c r="S14" t="s">
        <v>94</v>
      </c>
      <c r="T14" t="s">
        <v>103</v>
      </c>
    </row>
    <row r="15" spans="1:20">
      <c r="A15" t="s">
        <v>20</v>
      </c>
      <c r="B15" s="2">
        <v>46176</v>
      </c>
      <c r="C15" t="s">
        <v>96</v>
      </c>
      <c r="D15">
        <v>770</v>
      </c>
      <c r="E15" t="s">
        <v>97</v>
      </c>
      <c r="F15" t="s">
        <v>98</v>
      </c>
      <c r="G15" t="s">
        <v>104</v>
      </c>
      <c r="H15">
        <v>652</v>
      </c>
      <c r="I15">
        <v>118</v>
      </c>
      <c r="J15" s="3">
        <v>0.15324675324675299</v>
      </c>
      <c r="K15" t="s">
        <v>105</v>
      </c>
      <c r="L15">
        <v>50</v>
      </c>
      <c r="M15" t="s">
        <v>26</v>
      </c>
      <c r="N15" t="s">
        <v>106</v>
      </c>
      <c r="O15">
        <v>38</v>
      </c>
      <c r="P15" t="s">
        <v>28</v>
      </c>
      <c r="Q15" t="s">
        <v>107</v>
      </c>
      <c r="R15">
        <v>30</v>
      </c>
      <c r="S15" t="s">
        <v>94</v>
      </c>
      <c r="T15" t="s">
        <v>108</v>
      </c>
    </row>
    <row r="16" spans="1:20">
      <c r="A16" t="s">
        <v>20</v>
      </c>
      <c r="B16" s="2">
        <v>46176</v>
      </c>
      <c r="C16" t="s">
        <v>109</v>
      </c>
      <c r="D16">
        <v>466</v>
      </c>
      <c r="E16" t="s">
        <v>110</v>
      </c>
      <c r="F16" t="s">
        <v>98</v>
      </c>
      <c r="G16" t="s">
        <v>111</v>
      </c>
      <c r="H16">
        <v>321</v>
      </c>
      <c r="I16">
        <v>145</v>
      </c>
      <c r="J16" s="3">
        <v>0.31115879828326198</v>
      </c>
      <c r="K16" t="s">
        <v>112</v>
      </c>
      <c r="L16">
        <v>60</v>
      </c>
      <c r="M16" t="s">
        <v>26</v>
      </c>
      <c r="N16" t="s">
        <v>113</v>
      </c>
      <c r="O16">
        <v>56</v>
      </c>
      <c r="P16" t="s">
        <v>28</v>
      </c>
      <c r="Q16" t="s">
        <v>114</v>
      </c>
      <c r="R16">
        <v>29</v>
      </c>
      <c r="S16" t="s">
        <v>115</v>
      </c>
      <c r="T16" t="s">
        <v>116</v>
      </c>
    </row>
    <row r="17" spans="1:20">
      <c r="A17" t="s">
        <v>20</v>
      </c>
      <c r="B17" s="2">
        <v>46176</v>
      </c>
      <c r="C17" t="s">
        <v>109</v>
      </c>
      <c r="D17">
        <v>190</v>
      </c>
      <c r="E17" t="s">
        <v>97</v>
      </c>
      <c r="F17" t="s">
        <v>98</v>
      </c>
      <c r="G17" t="s">
        <v>117</v>
      </c>
      <c r="H17">
        <v>135</v>
      </c>
      <c r="I17">
        <v>55</v>
      </c>
      <c r="J17" s="3">
        <v>0.28947368421052599</v>
      </c>
      <c r="K17" t="s">
        <v>118</v>
      </c>
      <c r="L17">
        <v>20</v>
      </c>
      <c r="M17" t="s">
        <v>28</v>
      </c>
      <c r="N17" t="s">
        <v>119</v>
      </c>
      <c r="O17">
        <v>16</v>
      </c>
      <c r="P17" t="s">
        <v>26</v>
      </c>
      <c r="Q17" t="s">
        <v>120</v>
      </c>
      <c r="R17">
        <v>14</v>
      </c>
      <c r="S17" t="s">
        <v>94</v>
      </c>
      <c r="T17" t="s">
        <v>121</v>
      </c>
    </row>
    <row r="18" spans="1:20">
      <c r="A18" t="s">
        <v>20</v>
      </c>
      <c r="B18" s="2">
        <v>46176</v>
      </c>
      <c r="C18" t="s">
        <v>122</v>
      </c>
      <c r="D18">
        <v>1134</v>
      </c>
      <c r="E18" t="s">
        <v>123</v>
      </c>
      <c r="F18" t="s">
        <v>98</v>
      </c>
      <c r="G18" t="s">
        <v>124</v>
      </c>
      <c r="H18">
        <v>762</v>
      </c>
      <c r="I18">
        <v>372</v>
      </c>
      <c r="J18" s="3">
        <v>0.32804232804232802</v>
      </c>
      <c r="K18" t="s">
        <v>125</v>
      </c>
      <c r="L18">
        <v>240</v>
      </c>
      <c r="M18" t="s">
        <v>26</v>
      </c>
      <c r="N18" t="s">
        <v>126</v>
      </c>
      <c r="O18">
        <v>132</v>
      </c>
      <c r="P18" t="s">
        <v>28</v>
      </c>
      <c r="Q18" t="s">
        <v>127</v>
      </c>
      <c r="R18">
        <v>0</v>
      </c>
      <c r="S18" t="s">
        <v>30</v>
      </c>
      <c r="T18" t="s">
        <v>31</v>
      </c>
    </row>
    <row r="19" spans="1:20">
      <c r="A19" t="s">
        <v>20</v>
      </c>
      <c r="B19" s="2">
        <v>46176</v>
      </c>
      <c r="C19" t="s">
        <v>128</v>
      </c>
      <c r="D19">
        <v>181</v>
      </c>
      <c r="E19" t="s">
        <v>129</v>
      </c>
      <c r="F19" t="s">
        <v>67</v>
      </c>
      <c r="G19" t="s">
        <v>130</v>
      </c>
      <c r="H19">
        <v>127</v>
      </c>
      <c r="I19">
        <v>54</v>
      </c>
      <c r="J19" s="3">
        <v>0.29834254143646399</v>
      </c>
      <c r="K19" t="s">
        <v>131</v>
      </c>
      <c r="L19">
        <v>35</v>
      </c>
      <c r="M19" t="s">
        <v>26</v>
      </c>
      <c r="N19" t="s">
        <v>132</v>
      </c>
      <c r="O19">
        <v>10</v>
      </c>
      <c r="P19" t="s">
        <v>115</v>
      </c>
      <c r="Q19" t="s">
        <v>133</v>
      </c>
      <c r="R19">
        <v>9</v>
      </c>
      <c r="S19" t="s">
        <v>28</v>
      </c>
      <c r="T19" t="s">
        <v>134</v>
      </c>
    </row>
    <row r="20" spans="1:20">
      <c r="A20" t="s">
        <v>20</v>
      </c>
      <c r="B20" s="2">
        <v>46176</v>
      </c>
      <c r="C20" t="s">
        <v>128</v>
      </c>
      <c r="D20">
        <v>854</v>
      </c>
      <c r="E20" t="s">
        <v>110</v>
      </c>
      <c r="F20" t="s">
        <v>98</v>
      </c>
      <c r="G20" t="s">
        <v>111</v>
      </c>
      <c r="H20">
        <v>768</v>
      </c>
      <c r="I20">
        <v>86</v>
      </c>
      <c r="J20" s="3">
        <v>0.100702576112412</v>
      </c>
      <c r="K20" t="s">
        <v>135</v>
      </c>
      <c r="L20">
        <v>59</v>
      </c>
      <c r="M20" t="s">
        <v>26</v>
      </c>
      <c r="N20" t="s">
        <v>136</v>
      </c>
      <c r="O20">
        <v>22</v>
      </c>
      <c r="P20" t="s">
        <v>28</v>
      </c>
      <c r="Q20" t="s">
        <v>137</v>
      </c>
      <c r="R20">
        <v>5</v>
      </c>
      <c r="S20" t="s">
        <v>115</v>
      </c>
      <c r="T20" t="s">
        <v>138</v>
      </c>
    </row>
    <row r="29" spans="1:20">
      <c r="F29">
        <f>149+308</f>
        <v>457</v>
      </c>
    </row>
    <row r="30" spans="1:20">
      <c r="F30">
        <f>219+446</f>
        <v>665</v>
      </c>
      <c r="G30" s="3">
        <f>F29/F30</f>
        <v>0.68721804511278195</v>
      </c>
    </row>
    <row r="31" spans="1:20">
      <c r="G31" s="3"/>
      <c r="K31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66670</dc:creator>
  <cp:lastModifiedBy>66670</cp:lastModifiedBy>
  <dcterms:created xsi:type="dcterms:W3CDTF">2026-06-04T01:23:35Z</dcterms:created>
  <dcterms:modified xsi:type="dcterms:W3CDTF">2026-06-04T09:07:14Z</dcterms:modified>
</cp:coreProperties>
</file>