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6670\Documents\File họp chất lượng\2026\tháng 5\"/>
    </mc:Choice>
  </mc:AlternateContent>
  <bookViews>
    <workbookView xWindow="0" yWindow="0" windowWidth="28800" windowHeight="123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<sst xmlns="http://schemas.openxmlformats.org/spreadsheetml/2006/main" count="26" uniqueCount="26">
  <si>
    <t>Production line</t>
  </si>
  <si>
    <t>RFT</t>
  </si>
  <si>
    <t>B/C Grade</t>
  </si>
  <si>
    <t>Bonding pass rate</t>
  </si>
  <si>
    <t>STOCK FITTING 1</t>
  </si>
  <si>
    <t>STOCK FITTING 2</t>
  </si>
  <si>
    <t>STOCK FITTING 3</t>
  </si>
  <si>
    <t>STOCK FITTING 4</t>
  </si>
  <si>
    <t>STOCK FITTING 5</t>
  </si>
  <si>
    <t>STOCK FITTING 6</t>
  </si>
  <si>
    <t>STOCK FITTING 8</t>
  </si>
  <si>
    <t>STOCK FITTING 9</t>
  </si>
  <si>
    <t>STOCK FITTING 10</t>
  </si>
  <si>
    <t>STOCK FITTING 11</t>
  </si>
  <si>
    <t>STOCK FITTING 12</t>
  </si>
  <si>
    <t>66.19%</t>
  </si>
  <si>
    <t>63.62%</t>
  </si>
  <si>
    <t>67.60%</t>
  </si>
  <si>
    <t>67.58%</t>
  </si>
  <si>
    <t>70.24%</t>
  </si>
  <si>
    <t>72.83%</t>
  </si>
  <si>
    <t>64.72%</t>
  </si>
  <si>
    <t>69.93%</t>
  </si>
  <si>
    <t>68.84%</t>
  </si>
  <si>
    <t>66.57%</t>
  </si>
  <si>
    <t>68.96%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</si>
</sst>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0" fontId="3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B4" sqref="B4"/>
    </sheetView>
  </sheetViews>
  <sheetFormatPr defaultRowHeight="15" x14ac:dyDescent="0.25"/>
  <cols>
    <col min="1" max="4" width="31.85546875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30" customHeight="1" x14ac:dyDescent="0.25">
      <c r="A2" s="3" t="s">
        <v>4</v>
      </c>
      <c r="B2" s="4" t="s">
        <v>15</v>
      </c>
      <c r="C2" s="4">
        <f>3.5/49324</f>
        <v>7.095937069175249E-5</v>
      </c>
      <c r="D2" s="4">
        <v>0.84</v>
      </c>
    </row>
    <row r="3" spans="1:4" ht="30" customHeight="1" x14ac:dyDescent="0.25">
      <c r="A3" s="3" t="s">
        <v>5</v>
      </c>
      <c r="B3" s="4" t="s">
        <v>16</v>
      </c>
      <c r="C3" s="4">
        <f>8/40510</f>
        <v>1.9748210318439892E-4</v>
      </c>
      <c r="D3" s="4">
        <v>0.94117647058823495</v>
      </c>
    </row>
    <row r="4" spans="1:4" ht="30" customHeight="1" x14ac:dyDescent="0.25">
      <c r="A4" s="3" t="s">
        <v>6</v>
      </c>
      <c r="B4" s="4" t="s">
        <v>17</v>
      </c>
      <c r="C4" s="4">
        <f>18/29192</f>
        <v>6.1660728966840225E-4</v>
      </c>
      <c r="D4" s="4">
        <v>0.84</v>
      </c>
    </row>
    <row r="5" spans="1:4" ht="30" customHeight="1" x14ac:dyDescent="0.25">
      <c r="A5" s="3" t="s">
        <v>7</v>
      </c>
      <c r="B5" s="4" t="s">
        <v>18</v>
      </c>
      <c r="C5" s="4">
        <f>95/36570</f>
        <v>2.5977577249111294E-3</v>
      </c>
      <c r="D5" s="4">
        <v>1</v>
      </c>
    </row>
    <row r="6" spans="1:4" ht="30" customHeight="1" x14ac:dyDescent="0.25">
      <c r="A6" s="3" t="s">
        <v>8</v>
      </c>
      <c r="B6" s="4" t="s">
        <v>19</v>
      </c>
      <c r="C6" s="4">
        <f>224/47599</f>
        <v>4.7059812180928169E-3</v>
      </c>
      <c r="D6" s="4">
        <v>0.94117647058823495</v>
      </c>
    </row>
    <row r="7" spans="1:4" ht="30" customHeight="1" x14ac:dyDescent="0.25">
      <c r="A7" s="3" t="s">
        <v>9</v>
      </c>
      <c r="B7" s="4" t="s">
        <v>20</v>
      </c>
      <c r="C7" s="4">
        <f>8.5/46605</f>
        <v>1.8238386439223259E-4</v>
      </c>
      <c r="D7" s="4">
        <v>1</v>
      </c>
    </row>
    <row r="8" spans="1:4" ht="30" customHeight="1" x14ac:dyDescent="0.25">
      <c r="A8" s="3" t="s">
        <v>10</v>
      </c>
      <c r="B8" s="4" t="s">
        <v>21</v>
      </c>
      <c r="C8" s="4">
        <f>74.5/29415</f>
        <v>2.5327214006459291E-3</v>
      </c>
      <c r="D8" s="4">
        <v>0.94117647058823495</v>
      </c>
    </row>
    <row r="9" spans="1:4" ht="30" customHeight="1" x14ac:dyDescent="0.25">
      <c r="A9" s="3" t="s">
        <v>11</v>
      </c>
      <c r="B9" s="4" t="s">
        <v>22</v>
      </c>
      <c r="C9" s="4">
        <f>46.5/33805</f>
        <v>1.3755361632894541E-3</v>
      </c>
      <c r="D9" s="4">
        <v>0.9</v>
      </c>
    </row>
    <row r="10" spans="1:4" ht="30" customHeight="1" x14ac:dyDescent="0.25">
      <c r="A10" s="3" t="s">
        <v>12</v>
      </c>
      <c r="B10" s="4" t="s">
        <v>23</v>
      </c>
      <c r="C10" s="4">
        <f>20/16245</f>
        <v>1.2311480455524776E-3</v>
      </c>
      <c r="D10" s="4">
        <v>1</v>
      </c>
    </row>
    <row r="11" spans="1:4" ht="30" customHeight="1" x14ac:dyDescent="0.25">
      <c r="A11" s="3" t="s">
        <v>13</v>
      </c>
      <c r="B11" s="4" t="s">
        <v>24</v>
      </c>
      <c r="C11" s="4">
        <f>68/35030</f>
        <v>1.9411932629174993E-3</v>
      </c>
      <c r="D11" s="4">
        <v>0.76923076923076905</v>
      </c>
    </row>
    <row r="12" spans="1:4" ht="30" customHeight="1" x14ac:dyDescent="0.25">
      <c r="A12" s="3" t="s">
        <v>14</v>
      </c>
      <c r="B12" s="4" t="s">
        <v>25</v>
      </c>
      <c r="C12" s="4">
        <f>81/32255</f>
        <v>2.5112385676639283E-3</v>
      </c>
      <c r="D1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66670</dc:creator>
  <cp:lastModifiedBy>66670</cp:lastModifiedBy>
  <dcterms:created xsi:type="dcterms:W3CDTF">2026-05-09T06:45:30Z</dcterms:created>
  <dcterms:modified xsi:type="dcterms:W3CDTF">2026-05-29T09:19:40Z</dcterms:modified>
</cp:coreProperties>
</file>